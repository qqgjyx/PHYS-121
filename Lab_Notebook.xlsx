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duke-my.sharepoint.com/personal/jw853_duke_edu/Documents/Documents/2025FA/PHYS 121/"/>
    </mc:Choice>
  </mc:AlternateContent>
  <xr:revisionPtr revIDLastSave="37" documentId="8_{244D3BE4-FE8D-284E-B907-86BC94DCC924}" xr6:coauthVersionLast="47" xr6:coauthVersionMax="47" xr10:uidLastSave="{B3FC5123-347B-5C48-A177-C036672B6750}"/>
  <bookViews>
    <workbookView xWindow="13700" yWindow="880" windowWidth="27420" windowHeight="25700" activeTab="4" xr2:uid="{53902C88-7E7D-344D-B162-52E1F62432C2}"/>
  </bookViews>
  <sheets>
    <sheet name="Sheet1" sheetId="1" r:id="rId1"/>
    <sheet name="Sheet2" sheetId="2" r:id="rId2"/>
    <sheet name="Sheet3" sheetId="3" r:id="rId3"/>
    <sheet name="Sheet5" sheetId="5" r:id="rId4"/>
    <sheet name="Sheet6" sheetId="6" r:id="rId5"/>
  </sheets>
  <definedNames>
    <definedName name="_xlchart.v1.0" hidden="1">Sheet6!$B$5:$B$24</definedName>
    <definedName name="_xlchart.v2.1" hidden="1">Sheet6!$B$5:$B$24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 s="1"/>
  <c r="D12" i="2"/>
  <c r="D13" i="2" s="1"/>
  <c r="B12" i="2"/>
  <c r="B13" i="2" s="1"/>
</calcChain>
</file>

<file path=xl/sharedStrings.xml><?xml version="1.0" encoding="utf-8"?>
<sst xmlns="http://schemas.openxmlformats.org/spreadsheetml/2006/main" count="37" uniqueCount="28">
  <si>
    <t>Amplitude θ_0</t>
  </si>
  <si>
    <t>Period T_0 (s)</t>
  </si>
  <si>
    <t>beta</t>
  </si>
  <si>
    <t>Tbar</t>
  </si>
  <si>
    <t>Damp1</t>
  </si>
  <si>
    <t>Damp2</t>
  </si>
  <si>
    <t>Damp3</t>
  </si>
  <si>
    <t>Phase shift φ_2 (◦)</t>
  </si>
  <si>
    <t>Amplitude θ (◦)</t>
  </si>
  <si>
    <t>Motor period T (s)</t>
  </si>
  <si>
    <t>Damp 1</t>
  </si>
  <si>
    <t>Damp 2</t>
  </si>
  <si>
    <t>Note</t>
  </si>
  <si>
    <t>to measure (resolution 0.1 ͦC)</t>
  </si>
  <si>
    <t>to measure (resolution 1%)</t>
  </si>
  <si>
    <t>Equation 4 (after lab)</t>
  </si>
  <si>
    <t>Equation 3 (after lab)</t>
  </si>
  <si>
    <t>t (ͦC)</t>
  </si>
  <si>
    <t>r (%)</t>
  </si>
  <si>
    <t>p (Pa)</t>
  </si>
  <si>
    <t>ps (Pa)</t>
  </si>
  <si>
    <t xml:space="preserve"> (m/s)</t>
  </si>
  <si>
    <t>1.024 x 10^5</t>
  </si>
  <si>
    <t> Speed of sound in AIR (Traveling wave method)</t>
  </si>
  <si>
    <t>i (n = 6-20)</t>
  </si>
  <si>
    <t>li (mm)</t>
  </si>
  <si>
    <t xml:space="preserve"> (kHz) (resolution: 0.001kHz)</t>
  </si>
  <si>
    <t>39.770kHz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</si>
</sst>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Sheet1!$A$2:$A$33</c:f>
              <c:numCache>
                <c:formatCode>General</c:formatCode>
                <c:ptCount val="32"/>
                <c:pt idx="0">
                  <c:v>148</c:v>
                </c:pt>
                <c:pt idx="1">
                  <c:v>143</c:v>
                </c:pt>
                <c:pt idx="2">
                  <c:v>136</c:v>
                </c:pt>
                <c:pt idx="3">
                  <c:v>132</c:v>
                </c:pt>
                <c:pt idx="4">
                  <c:v>127</c:v>
                </c:pt>
                <c:pt idx="5">
                  <c:v>126</c:v>
                </c:pt>
                <c:pt idx="6">
                  <c:v>124</c:v>
                </c:pt>
                <c:pt idx="7">
                  <c:v>121</c:v>
                </c:pt>
                <c:pt idx="8">
                  <c:v>120</c:v>
                </c:pt>
                <c:pt idx="9">
                  <c:v>118</c:v>
                </c:pt>
                <c:pt idx="10">
                  <c:v>117</c:v>
                </c:pt>
                <c:pt idx="11">
                  <c:v>114</c:v>
                </c:pt>
                <c:pt idx="12">
                  <c:v>108</c:v>
                </c:pt>
                <c:pt idx="13">
                  <c:v>106</c:v>
                </c:pt>
                <c:pt idx="14">
                  <c:v>102</c:v>
                </c:pt>
                <c:pt idx="15">
                  <c:v>98</c:v>
                </c:pt>
                <c:pt idx="16">
                  <c:v>96</c:v>
                </c:pt>
                <c:pt idx="17">
                  <c:v>92</c:v>
                </c:pt>
                <c:pt idx="18">
                  <c:v>89</c:v>
                </c:pt>
                <c:pt idx="19">
                  <c:v>86</c:v>
                </c:pt>
                <c:pt idx="20">
                  <c:v>84</c:v>
                </c:pt>
                <c:pt idx="21">
                  <c:v>82</c:v>
                </c:pt>
                <c:pt idx="22">
                  <c:v>80</c:v>
                </c:pt>
                <c:pt idx="23">
                  <c:v>78</c:v>
                </c:pt>
                <c:pt idx="24">
                  <c:v>76</c:v>
                </c:pt>
                <c:pt idx="25">
                  <c:v>72</c:v>
                </c:pt>
                <c:pt idx="26">
                  <c:v>68</c:v>
                </c:pt>
                <c:pt idx="27">
                  <c:v>64</c:v>
                </c:pt>
                <c:pt idx="28">
                  <c:v>60</c:v>
                </c:pt>
                <c:pt idx="29">
                  <c:v>54</c:v>
                </c:pt>
                <c:pt idx="30">
                  <c:v>52</c:v>
                </c:pt>
                <c:pt idx="31">
                  <c:v>50</c:v>
                </c:pt>
              </c:numCache>
            </c:numRef>
          </c:xVal>
          <c:yVal>
            <c:numRef>
              <c:f>Sheet1!$B$2:$B$33</c:f>
              <c:numCache>
                <c:formatCode>General</c:formatCode>
                <c:ptCount val="32"/>
                <c:pt idx="0">
                  <c:v>1.518</c:v>
                </c:pt>
                <c:pt idx="1">
                  <c:v>1.5169999999999999</c:v>
                </c:pt>
                <c:pt idx="2">
                  <c:v>1.5169999999999999</c:v>
                </c:pt>
                <c:pt idx="3">
                  <c:v>1.5169999999999999</c:v>
                </c:pt>
                <c:pt idx="4">
                  <c:v>1.5169999999999999</c:v>
                </c:pt>
                <c:pt idx="5">
                  <c:v>1.5169999999999999</c:v>
                </c:pt>
                <c:pt idx="6">
                  <c:v>1.5169999999999999</c:v>
                </c:pt>
                <c:pt idx="7">
                  <c:v>1.516</c:v>
                </c:pt>
                <c:pt idx="8">
                  <c:v>1.5169999999999999</c:v>
                </c:pt>
                <c:pt idx="9">
                  <c:v>1.516</c:v>
                </c:pt>
                <c:pt idx="10">
                  <c:v>1.516</c:v>
                </c:pt>
                <c:pt idx="11">
                  <c:v>1.516</c:v>
                </c:pt>
                <c:pt idx="12">
                  <c:v>1.516</c:v>
                </c:pt>
                <c:pt idx="13">
                  <c:v>1.5149999999999999</c:v>
                </c:pt>
                <c:pt idx="14">
                  <c:v>1.5149999999999999</c:v>
                </c:pt>
                <c:pt idx="15">
                  <c:v>1.5149999999999999</c:v>
                </c:pt>
                <c:pt idx="16">
                  <c:v>1.5149999999999999</c:v>
                </c:pt>
                <c:pt idx="17">
                  <c:v>1.514</c:v>
                </c:pt>
                <c:pt idx="18">
                  <c:v>1.514</c:v>
                </c:pt>
                <c:pt idx="19">
                  <c:v>1.514</c:v>
                </c:pt>
                <c:pt idx="20">
                  <c:v>1.5129999999999999</c:v>
                </c:pt>
                <c:pt idx="21">
                  <c:v>1.514</c:v>
                </c:pt>
                <c:pt idx="22">
                  <c:v>1.5129999999999999</c:v>
                </c:pt>
                <c:pt idx="23">
                  <c:v>1.5129999999999999</c:v>
                </c:pt>
                <c:pt idx="24">
                  <c:v>1.5129999999999999</c:v>
                </c:pt>
                <c:pt idx="25">
                  <c:v>1.5129999999999999</c:v>
                </c:pt>
                <c:pt idx="26">
                  <c:v>1.512</c:v>
                </c:pt>
                <c:pt idx="27">
                  <c:v>1.512</c:v>
                </c:pt>
                <c:pt idx="28">
                  <c:v>1.512</c:v>
                </c:pt>
                <c:pt idx="29">
                  <c:v>1.512</c:v>
                </c:pt>
                <c:pt idx="30">
                  <c:v>1.5109999999999999</c:v>
                </c:pt>
                <c:pt idx="31">
                  <c:v>1.512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BD-A244-98F5-81B12662C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481392"/>
        <c:axId val="980483104"/>
      </c:scatterChart>
      <c:valAx>
        <c:axId val="98048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80483104"/>
        <c:crosses val="autoZero"/>
        <c:crossBetween val="midCat"/>
      </c:valAx>
      <c:valAx>
        <c:axId val="9804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8048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yVal>
            <c:numRef>
              <c:f>Sheet6!$B$5:$B$24</c:f>
              <c:numCache>
                <c:formatCode>0.00</c:formatCode>
                <c:ptCount val="20"/>
                <c:pt idx="0">
                  <c:v>3.65</c:v>
                </c:pt>
                <c:pt idx="1">
                  <c:v>12.4</c:v>
                </c:pt>
                <c:pt idx="2">
                  <c:v>20.92</c:v>
                </c:pt>
                <c:pt idx="3">
                  <c:v>28.06</c:v>
                </c:pt>
                <c:pt idx="4">
                  <c:v>37.69</c:v>
                </c:pt>
                <c:pt idx="5">
                  <c:v>45.02</c:v>
                </c:pt>
                <c:pt idx="6">
                  <c:v>54.53</c:v>
                </c:pt>
                <c:pt idx="7">
                  <c:v>63.42</c:v>
                </c:pt>
                <c:pt idx="8">
                  <c:v>72.099999999999994</c:v>
                </c:pt>
                <c:pt idx="9">
                  <c:v>80.75</c:v>
                </c:pt>
                <c:pt idx="10">
                  <c:v>89.34</c:v>
                </c:pt>
                <c:pt idx="11">
                  <c:v>97.84</c:v>
                </c:pt>
                <c:pt idx="12">
                  <c:v>106.73</c:v>
                </c:pt>
                <c:pt idx="13">
                  <c:v>115.69</c:v>
                </c:pt>
                <c:pt idx="14">
                  <c:v>124.09</c:v>
                </c:pt>
                <c:pt idx="15">
                  <c:v>132.87</c:v>
                </c:pt>
                <c:pt idx="16">
                  <c:v>141.6</c:v>
                </c:pt>
                <c:pt idx="17">
                  <c:v>150.05000000000001</c:v>
                </c:pt>
                <c:pt idx="18">
                  <c:v>158.66</c:v>
                </c:pt>
                <c:pt idx="19">
                  <c:v>167.37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E-DF4A-BA2E-D56554BD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261216"/>
        <c:axId val="1120251104"/>
      </c:scatterChart>
      <c:valAx>
        <c:axId val="112026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20251104"/>
        <c:crosses val="autoZero"/>
        <c:crossBetween val="midCat"/>
      </c:valAx>
      <c:valAx>
        <c:axId val="112025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2026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139700</xdr:colOff>
      <xdr:row>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1E4C7-2338-6A50-5BB5-8CBFFBC4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120650</xdr:colOff>
      <xdr:row>8</xdr:row>
      <xdr:rowOff>31750</xdr:rowOff>
    </xdr:from>
    <xdr:to>
      <xdr:col>7</xdr:col>
      <xdr:colOff>565150</xdr:colOff>
      <xdr:row>21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F7A6BA-FFAF-B117-D60A-88D5EB1DA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139700</xdr:colOff>
      <xdr:row>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3956D-2BE7-2B47-BF21-73405BEF8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2</xdr:col>
      <xdr:colOff>139700</xdr:colOff>
      <xdr:row>0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821D52-360D-3644-88AD-2AE45EBD6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4</xdr:col>
      <xdr:colOff>139700</xdr:colOff>
      <xdr:row>0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C72074-2151-9948-A4DE-DB7CCBC11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0</xdr:col>
      <xdr:colOff>76200</xdr:colOff>
      <xdr:row>5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38C074-C7D8-B4AA-1052-B8189EC8E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0"/>
          <a:ext cx="76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76200</xdr:colOff>
      <xdr:row>2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F12B5-2F58-1C4E-9DF8-D97E4B20A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5200"/>
          <a:ext cx="76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400050</xdr:colOff>
      <xdr:row>5</xdr:row>
      <xdr:rowOff>120650</xdr:rowOff>
    </xdr:from>
    <xdr:to>
      <xdr:col>8</xdr:col>
      <xdr:colOff>19050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69609E-B4CE-7858-D38E-42486EAFC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C8D2-6E16-ED41-9D40-6AC5C5E22079}">
  <dimension ref="A1:B33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x14ac:dyDescent="0.2">
      <c r="A2">
        <v>148</v>
      </c>
      <c r="B2">
        <v>1.518</v>
      </c>
    </row>
    <row r="3" spans="1:2" x14ac:dyDescent="0.2">
      <c r="A3">
        <v>143</v>
      </c>
      <c r="B3">
        <v>1.5169999999999999</v>
      </c>
    </row>
    <row r="4" spans="1:2" x14ac:dyDescent="0.2">
      <c r="A4">
        <v>136</v>
      </c>
      <c r="B4">
        <v>1.5169999999999999</v>
      </c>
    </row>
    <row r="5" spans="1:2" x14ac:dyDescent="0.2">
      <c r="A5">
        <v>132</v>
      </c>
      <c r="B5">
        <v>1.5169999999999999</v>
      </c>
    </row>
    <row r="6" spans="1:2" x14ac:dyDescent="0.2">
      <c r="A6">
        <v>127</v>
      </c>
      <c r="B6">
        <v>1.5169999999999999</v>
      </c>
    </row>
    <row r="7" spans="1:2" x14ac:dyDescent="0.2">
      <c r="A7">
        <v>126</v>
      </c>
      <c r="B7">
        <v>1.5169999999999999</v>
      </c>
    </row>
    <row r="8" spans="1:2" x14ac:dyDescent="0.2">
      <c r="A8">
        <v>124</v>
      </c>
      <c r="B8">
        <v>1.5169999999999999</v>
      </c>
    </row>
    <row r="9" spans="1:2" x14ac:dyDescent="0.2">
      <c r="A9">
        <v>121</v>
      </c>
      <c r="B9">
        <v>1.516</v>
      </c>
    </row>
    <row r="10" spans="1:2" x14ac:dyDescent="0.2">
      <c r="A10">
        <v>120</v>
      </c>
      <c r="B10">
        <v>1.5169999999999999</v>
      </c>
    </row>
    <row r="11" spans="1:2" x14ac:dyDescent="0.2">
      <c r="A11">
        <v>118</v>
      </c>
      <c r="B11">
        <v>1.516</v>
      </c>
    </row>
    <row r="12" spans="1:2" x14ac:dyDescent="0.2">
      <c r="A12">
        <v>117</v>
      </c>
      <c r="B12">
        <v>1.516</v>
      </c>
    </row>
    <row r="13" spans="1:2" x14ac:dyDescent="0.2">
      <c r="A13">
        <v>114</v>
      </c>
      <c r="B13">
        <v>1.516</v>
      </c>
    </row>
    <row r="14" spans="1:2" x14ac:dyDescent="0.2">
      <c r="A14">
        <v>108</v>
      </c>
      <c r="B14">
        <v>1.516</v>
      </c>
    </row>
    <row r="15" spans="1:2" x14ac:dyDescent="0.2">
      <c r="A15">
        <v>106</v>
      </c>
      <c r="B15">
        <v>1.5149999999999999</v>
      </c>
    </row>
    <row r="16" spans="1:2" x14ac:dyDescent="0.2">
      <c r="A16">
        <v>102</v>
      </c>
      <c r="B16">
        <v>1.5149999999999999</v>
      </c>
    </row>
    <row r="17" spans="1:2" x14ac:dyDescent="0.2">
      <c r="A17">
        <v>98</v>
      </c>
      <c r="B17">
        <v>1.5149999999999999</v>
      </c>
    </row>
    <row r="18" spans="1:2" x14ac:dyDescent="0.2">
      <c r="A18">
        <v>96</v>
      </c>
      <c r="B18">
        <v>1.5149999999999999</v>
      </c>
    </row>
    <row r="19" spans="1:2" x14ac:dyDescent="0.2">
      <c r="A19">
        <v>92</v>
      </c>
      <c r="B19">
        <v>1.514</v>
      </c>
    </row>
    <row r="20" spans="1:2" x14ac:dyDescent="0.2">
      <c r="A20">
        <v>89</v>
      </c>
      <c r="B20">
        <v>1.514</v>
      </c>
    </row>
    <row r="21" spans="1:2" x14ac:dyDescent="0.2">
      <c r="A21">
        <v>86</v>
      </c>
      <c r="B21">
        <v>1.514</v>
      </c>
    </row>
    <row r="22" spans="1:2" x14ac:dyDescent="0.2">
      <c r="A22">
        <v>84</v>
      </c>
      <c r="B22">
        <v>1.5129999999999999</v>
      </c>
    </row>
    <row r="23" spans="1:2" x14ac:dyDescent="0.2">
      <c r="A23">
        <v>82</v>
      </c>
      <c r="B23">
        <v>1.514</v>
      </c>
    </row>
    <row r="24" spans="1:2" x14ac:dyDescent="0.2">
      <c r="A24">
        <v>80</v>
      </c>
      <c r="B24">
        <v>1.5129999999999999</v>
      </c>
    </row>
    <row r="25" spans="1:2" x14ac:dyDescent="0.2">
      <c r="A25">
        <v>78</v>
      </c>
      <c r="B25">
        <v>1.5129999999999999</v>
      </c>
    </row>
    <row r="26" spans="1:2" x14ac:dyDescent="0.2">
      <c r="A26">
        <v>76</v>
      </c>
      <c r="B26">
        <v>1.5129999999999999</v>
      </c>
    </row>
    <row r="27" spans="1:2" x14ac:dyDescent="0.2">
      <c r="A27">
        <v>72</v>
      </c>
      <c r="B27">
        <v>1.5129999999999999</v>
      </c>
    </row>
    <row r="28" spans="1:2" x14ac:dyDescent="0.2">
      <c r="A28">
        <v>68</v>
      </c>
      <c r="B28">
        <v>1.512</v>
      </c>
    </row>
    <row r="29" spans="1:2" x14ac:dyDescent="0.2">
      <c r="A29">
        <v>64</v>
      </c>
      <c r="B29">
        <v>1.512</v>
      </c>
    </row>
    <row r="30" spans="1:2" x14ac:dyDescent="0.2">
      <c r="A30">
        <v>60</v>
      </c>
      <c r="B30">
        <v>1.512</v>
      </c>
    </row>
    <row r="31" spans="1:2" x14ac:dyDescent="0.2">
      <c r="A31">
        <v>54</v>
      </c>
      <c r="B31">
        <v>1.512</v>
      </c>
    </row>
    <row r="32" spans="1:2" x14ac:dyDescent="0.2">
      <c r="A32">
        <v>52</v>
      </c>
      <c r="B32">
        <v>1.5109999999999999</v>
      </c>
    </row>
    <row r="33" spans="1:2" x14ac:dyDescent="0.2">
      <c r="A33">
        <v>50</v>
      </c>
      <c r="B33">
        <v>1.512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FF38-5A3C-1043-AC08-D0B7B6C41BF9}">
  <dimension ref="A1:F14"/>
  <sheetViews>
    <sheetView workbookViewId="0">
      <selection activeCell="H28" sqref="H28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0</v>
      </c>
      <c r="D1" t="s">
        <v>1</v>
      </c>
      <c r="E1" s="1" t="s">
        <v>0</v>
      </c>
      <c r="F1" t="s">
        <v>1</v>
      </c>
    </row>
    <row r="2" spans="1:6" x14ac:dyDescent="0.2">
      <c r="A2">
        <v>132</v>
      </c>
      <c r="B2">
        <v>15.141999999999999</v>
      </c>
      <c r="C2">
        <v>140</v>
      </c>
      <c r="D2">
        <v>15.141</v>
      </c>
      <c r="E2">
        <v>118</v>
      </c>
      <c r="F2" s="2">
        <v>15.135999999999999</v>
      </c>
    </row>
    <row r="3" spans="1:6" x14ac:dyDescent="0.2">
      <c r="A3">
        <v>120</v>
      </c>
      <c r="B3">
        <v>15.141999999999999</v>
      </c>
      <c r="C3">
        <v>104</v>
      </c>
      <c r="D3">
        <v>15.141</v>
      </c>
      <c r="E3">
        <v>106</v>
      </c>
      <c r="F3" s="2">
        <v>15.135999999999999</v>
      </c>
    </row>
    <row r="4" spans="1:6" x14ac:dyDescent="0.2">
      <c r="A4">
        <v>110</v>
      </c>
      <c r="B4">
        <v>15.141999999999999</v>
      </c>
      <c r="C4">
        <v>94</v>
      </c>
      <c r="D4">
        <v>15.141</v>
      </c>
      <c r="E4">
        <v>95</v>
      </c>
      <c r="F4" s="2">
        <v>15.135999999999999</v>
      </c>
    </row>
    <row r="5" spans="1:6" x14ac:dyDescent="0.2">
      <c r="A5">
        <v>100</v>
      </c>
      <c r="B5">
        <v>15.141999999999999</v>
      </c>
      <c r="C5">
        <v>84</v>
      </c>
      <c r="D5">
        <v>15.141</v>
      </c>
      <c r="E5">
        <v>86</v>
      </c>
      <c r="F5" s="2">
        <v>15.135999999999999</v>
      </c>
    </row>
    <row r="6" spans="1:6" x14ac:dyDescent="0.2">
      <c r="A6">
        <v>91</v>
      </c>
      <c r="B6">
        <v>15.141999999999999</v>
      </c>
      <c r="C6">
        <v>76</v>
      </c>
      <c r="D6">
        <v>15.141</v>
      </c>
      <c r="E6">
        <v>76</v>
      </c>
      <c r="F6" s="2">
        <v>15.135999999999999</v>
      </c>
    </row>
    <row r="7" spans="1:6" x14ac:dyDescent="0.2">
      <c r="A7">
        <v>82</v>
      </c>
      <c r="B7">
        <v>15.141999999999999</v>
      </c>
      <c r="C7">
        <v>68</v>
      </c>
      <c r="D7">
        <v>15.141</v>
      </c>
      <c r="E7">
        <v>68</v>
      </c>
      <c r="F7" s="2">
        <v>15.135999999999999</v>
      </c>
    </row>
    <row r="8" spans="1:6" x14ac:dyDescent="0.2">
      <c r="A8">
        <v>75</v>
      </c>
      <c r="B8">
        <v>15.141999999999999</v>
      </c>
      <c r="C8">
        <v>62</v>
      </c>
      <c r="D8">
        <v>15.141</v>
      </c>
      <c r="E8">
        <v>62</v>
      </c>
      <c r="F8" s="2">
        <v>15.135999999999999</v>
      </c>
    </row>
    <row r="9" spans="1:6" x14ac:dyDescent="0.2">
      <c r="A9">
        <v>68</v>
      </c>
      <c r="B9">
        <v>15.141999999999999</v>
      </c>
      <c r="C9">
        <v>56</v>
      </c>
      <c r="D9">
        <v>15.141</v>
      </c>
      <c r="E9">
        <v>55</v>
      </c>
      <c r="F9" s="2">
        <v>15.135999999999999</v>
      </c>
    </row>
    <row r="10" spans="1:6" x14ac:dyDescent="0.2">
      <c r="A10">
        <v>62</v>
      </c>
      <c r="B10">
        <v>15.141999999999999</v>
      </c>
      <c r="C10">
        <v>50</v>
      </c>
      <c r="D10">
        <v>15.141</v>
      </c>
      <c r="E10">
        <v>49</v>
      </c>
      <c r="F10" s="2">
        <v>15.135999999999999</v>
      </c>
    </row>
    <row r="11" spans="1:6" x14ac:dyDescent="0.2">
      <c r="A11">
        <v>56</v>
      </c>
      <c r="B11">
        <v>15.141999999999999</v>
      </c>
      <c r="C11">
        <v>45</v>
      </c>
      <c r="D11">
        <v>15.141</v>
      </c>
      <c r="E11">
        <v>44</v>
      </c>
      <c r="F11" s="2">
        <v>15.135999999999999</v>
      </c>
    </row>
    <row r="12" spans="1:6" x14ac:dyDescent="0.2">
      <c r="A12" t="s">
        <v>3</v>
      </c>
      <c r="B12">
        <f>AVERAGE(B2:B11)</f>
        <v>15.141999999999999</v>
      </c>
      <c r="D12">
        <f>AVERAGE(D2:D11)</f>
        <v>15.141</v>
      </c>
      <c r="F12">
        <f>AVERAGE(F2:F11)</f>
        <v>15.135999999999999</v>
      </c>
    </row>
    <row r="13" spans="1:6" x14ac:dyDescent="0.2">
      <c r="A13" t="s">
        <v>2</v>
      </c>
      <c r="B13">
        <f>LOG(A2/A11,EXP(1))/B12/10</f>
        <v>5.6627277232282501E-3</v>
      </c>
      <c r="D13">
        <f>LOG(C2/C11,EXP(1))/D12/10</f>
        <v>7.496069829198761E-3</v>
      </c>
      <c r="F13">
        <f>LOG(E2/E11,EXP(1))/F12/10</f>
        <v>6.5175408994939451E-3</v>
      </c>
    </row>
    <row r="14" spans="1:6" x14ac:dyDescent="0.2">
      <c r="B14" t="s">
        <v>4</v>
      </c>
      <c r="D14" t="s">
        <v>5</v>
      </c>
      <c r="F14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6CCB-D5F9-0145-81D4-2875D4C5BAAD}">
  <dimension ref="A1:F12"/>
  <sheetViews>
    <sheetView workbookViewId="0">
      <selection activeCell="E20" sqref="E20"/>
    </sheetView>
  </sheetViews>
  <sheetFormatPr baseColWidth="10" defaultRowHeight="16" x14ac:dyDescent="0.2"/>
  <cols>
    <col min="1" max="1" width="17.6640625" style="5" customWidth="1"/>
    <col min="2" max="2" width="16.1640625" style="3" customWidth="1"/>
    <col min="3" max="3" width="13.5" customWidth="1"/>
    <col min="4" max="4" width="17" style="5" customWidth="1"/>
    <col min="5" max="5" width="15.6640625" style="3" customWidth="1"/>
    <col min="6" max="6" width="13.83203125" customWidth="1"/>
  </cols>
  <sheetData>
    <row r="1" spans="1:6" ht="17" x14ac:dyDescent="0.2">
      <c r="A1" s="4" t="s">
        <v>9</v>
      </c>
      <c r="B1" s="3" t="s">
        <v>7</v>
      </c>
      <c r="C1" t="s">
        <v>8</v>
      </c>
      <c r="D1" s="4" t="s">
        <v>9</v>
      </c>
      <c r="E1" s="3" t="s">
        <v>7</v>
      </c>
      <c r="F1" t="s">
        <v>8</v>
      </c>
    </row>
    <row r="2" spans="1:6" x14ac:dyDescent="0.2">
      <c r="A2" s="5">
        <v>15.138999999999999</v>
      </c>
      <c r="B2" s="3">
        <v>100</v>
      </c>
      <c r="C2">
        <v>154</v>
      </c>
      <c r="D2" s="5">
        <v>15.14</v>
      </c>
      <c r="E2" s="3">
        <v>99.5</v>
      </c>
      <c r="F2">
        <v>142</v>
      </c>
    </row>
    <row r="3" spans="1:6" x14ac:dyDescent="0.2">
      <c r="A3" s="5">
        <v>15.177</v>
      </c>
      <c r="B3" s="3">
        <v>90</v>
      </c>
      <c r="C3">
        <v>158</v>
      </c>
      <c r="D3" s="5">
        <v>15.176</v>
      </c>
      <c r="E3" s="3">
        <v>91</v>
      </c>
      <c r="F3">
        <v>145</v>
      </c>
    </row>
    <row r="4" spans="1:6" x14ac:dyDescent="0.2">
      <c r="A4" s="5">
        <v>15.231999999999999</v>
      </c>
      <c r="B4" s="3">
        <v>79.5</v>
      </c>
      <c r="C4">
        <v>156</v>
      </c>
      <c r="D4" s="5">
        <v>15.217000000000001</v>
      </c>
      <c r="E4" s="3">
        <v>80</v>
      </c>
      <c r="F4">
        <v>144</v>
      </c>
    </row>
    <row r="5" spans="1:6" x14ac:dyDescent="0.2">
      <c r="A5" s="5">
        <v>15.260999999999999</v>
      </c>
      <c r="B5" s="3">
        <v>68.5</v>
      </c>
      <c r="C5">
        <v>150</v>
      </c>
      <c r="D5" s="5">
        <v>15.292</v>
      </c>
      <c r="E5" s="3">
        <v>70</v>
      </c>
      <c r="F5">
        <v>133</v>
      </c>
    </row>
    <row r="6" spans="1:6" x14ac:dyDescent="0.2">
      <c r="A6" s="5">
        <v>15.215999999999999</v>
      </c>
      <c r="B6" s="3">
        <v>60.5</v>
      </c>
      <c r="C6">
        <v>156</v>
      </c>
      <c r="D6" s="5">
        <v>15.315</v>
      </c>
      <c r="E6" s="3">
        <v>60</v>
      </c>
      <c r="F6">
        <v>128</v>
      </c>
    </row>
    <row r="7" spans="1:6" x14ac:dyDescent="0.2">
      <c r="A7" s="5">
        <v>15.347</v>
      </c>
      <c r="B7" s="3">
        <v>52</v>
      </c>
      <c r="C7">
        <v>126</v>
      </c>
      <c r="D7" s="5">
        <v>15.361000000000001</v>
      </c>
      <c r="E7" s="3">
        <v>50</v>
      </c>
      <c r="F7">
        <v>114</v>
      </c>
    </row>
    <row r="8" spans="1:6" x14ac:dyDescent="0.2">
      <c r="A8" s="5">
        <v>15.407</v>
      </c>
      <c r="B8" s="3">
        <v>42</v>
      </c>
      <c r="C8">
        <v>108</v>
      </c>
      <c r="D8" s="5">
        <v>15.444000000000001</v>
      </c>
      <c r="E8" s="3">
        <v>40</v>
      </c>
      <c r="F8">
        <v>95</v>
      </c>
    </row>
    <row r="9" spans="1:6" x14ac:dyDescent="0.2">
      <c r="A9" s="5">
        <v>15.499000000000001</v>
      </c>
      <c r="B9" s="3">
        <v>32</v>
      </c>
      <c r="C9">
        <v>86</v>
      </c>
      <c r="D9" s="5">
        <v>15.545999999999999</v>
      </c>
      <c r="E9" s="3">
        <v>30</v>
      </c>
      <c r="F9">
        <v>76</v>
      </c>
    </row>
    <row r="10" spans="1:6" x14ac:dyDescent="0.2">
      <c r="A10" s="5">
        <v>15.66</v>
      </c>
      <c r="B10" s="3">
        <v>21</v>
      </c>
      <c r="C10">
        <v>63</v>
      </c>
      <c r="D10" s="5">
        <v>15.733000000000001</v>
      </c>
      <c r="E10" s="3">
        <v>20</v>
      </c>
      <c r="F10">
        <v>56</v>
      </c>
    </row>
    <row r="11" spans="1:6" x14ac:dyDescent="0.2">
      <c r="A11" s="5">
        <v>15.968999999999999</v>
      </c>
      <c r="B11" s="3">
        <v>10</v>
      </c>
      <c r="C11">
        <v>42</v>
      </c>
      <c r="D11" s="5">
        <v>16.225000000000001</v>
      </c>
      <c r="E11" s="3">
        <v>10</v>
      </c>
      <c r="F11">
        <v>34</v>
      </c>
    </row>
    <row r="12" spans="1:6" x14ac:dyDescent="0.2">
      <c r="C12" t="s">
        <v>10</v>
      </c>
      <c r="F1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1B14-A70C-4740-B88C-2622A5507BEE}">
  <dimension ref="A1:C6"/>
  <sheetViews>
    <sheetView topLeftCell="A3" workbookViewId="0">
      <selection activeCell="C14" sqref="C14"/>
    </sheetView>
  </sheetViews>
  <sheetFormatPr baseColWidth="10" defaultRowHeight="16" x14ac:dyDescent="0.2"/>
  <cols>
    <col min="2" max="3" width="10.83203125" customWidth="1"/>
  </cols>
  <sheetData>
    <row r="1" spans="1:3" x14ac:dyDescent="0.2">
      <c r="C1" t="s">
        <v>12</v>
      </c>
    </row>
    <row r="2" spans="1:3" x14ac:dyDescent="0.2">
      <c r="A2" t="s">
        <v>17</v>
      </c>
      <c r="B2">
        <v>21.1</v>
      </c>
      <c r="C2" t="s">
        <v>13</v>
      </c>
    </row>
    <row r="3" spans="1:3" x14ac:dyDescent="0.2">
      <c r="A3" t="s">
        <v>18</v>
      </c>
      <c r="B3">
        <v>34</v>
      </c>
      <c r="C3" t="s">
        <v>14</v>
      </c>
    </row>
    <row r="4" spans="1:3" x14ac:dyDescent="0.2">
      <c r="A4" t="s">
        <v>19</v>
      </c>
      <c r="B4" t="s">
        <v>22</v>
      </c>
    </row>
    <row r="5" spans="1:3" x14ac:dyDescent="0.2">
      <c r="A5" t="s">
        <v>20</v>
      </c>
      <c r="C5" t="s">
        <v>15</v>
      </c>
    </row>
    <row r="6" spans="1:3" x14ac:dyDescent="0.2">
      <c r="A6" t="s">
        <v>21</v>
      </c>
      <c r="C6" t="s">
        <v>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5DA6-7A16-DF41-B2F8-121723970312}">
  <dimension ref="A1:B24"/>
  <sheetViews>
    <sheetView tabSelected="1" workbookViewId="0">
      <selection activeCell="E42" sqref="E42"/>
    </sheetView>
  </sheetViews>
  <sheetFormatPr baseColWidth="10" defaultRowHeight="16" x14ac:dyDescent="0.2"/>
  <cols>
    <col min="1" max="1" width="26.83203125" customWidth="1"/>
    <col min="2" max="2" width="22.33203125" style="6" customWidth="1"/>
  </cols>
  <sheetData>
    <row r="1" spans="1:2" x14ac:dyDescent="0.2">
      <c r="A1" t="s">
        <v>23</v>
      </c>
    </row>
    <row r="3" spans="1:2" x14ac:dyDescent="0.2">
      <c r="A3" t="s">
        <v>26</v>
      </c>
      <c r="B3" s="6" t="s">
        <v>27</v>
      </c>
    </row>
    <row r="4" spans="1:2" x14ac:dyDescent="0.2">
      <c r="A4" t="s">
        <v>24</v>
      </c>
      <c r="B4" s="6" t="s">
        <v>25</v>
      </c>
    </row>
    <row r="5" spans="1:2" x14ac:dyDescent="0.2">
      <c r="A5">
        <v>1</v>
      </c>
      <c r="B5" s="6">
        <v>3.65</v>
      </c>
    </row>
    <row r="6" spans="1:2" x14ac:dyDescent="0.2">
      <c r="A6">
        <v>2</v>
      </c>
      <c r="B6" s="6">
        <v>12.4</v>
      </c>
    </row>
    <row r="7" spans="1:2" x14ac:dyDescent="0.2">
      <c r="A7">
        <v>3</v>
      </c>
      <c r="B7" s="6">
        <v>20.92</v>
      </c>
    </row>
    <row r="8" spans="1:2" x14ac:dyDescent="0.2">
      <c r="A8">
        <v>4</v>
      </c>
      <c r="B8" s="6">
        <v>28.06</v>
      </c>
    </row>
    <row r="9" spans="1:2" x14ac:dyDescent="0.2">
      <c r="A9">
        <v>5</v>
      </c>
      <c r="B9" s="6">
        <v>37.69</v>
      </c>
    </row>
    <row r="10" spans="1:2" x14ac:dyDescent="0.2">
      <c r="A10">
        <v>6</v>
      </c>
      <c r="B10" s="6">
        <v>45.02</v>
      </c>
    </row>
    <row r="11" spans="1:2" x14ac:dyDescent="0.2">
      <c r="A11">
        <v>7</v>
      </c>
      <c r="B11" s="6">
        <v>54.53</v>
      </c>
    </row>
    <row r="12" spans="1:2" x14ac:dyDescent="0.2">
      <c r="A12">
        <v>8</v>
      </c>
      <c r="B12" s="6">
        <v>63.42</v>
      </c>
    </row>
    <row r="13" spans="1:2" x14ac:dyDescent="0.2">
      <c r="A13">
        <v>9</v>
      </c>
      <c r="B13" s="6">
        <v>72.099999999999994</v>
      </c>
    </row>
    <row r="14" spans="1:2" x14ac:dyDescent="0.2">
      <c r="A14">
        <v>10</v>
      </c>
      <c r="B14" s="6">
        <v>80.75</v>
      </c>
    </row>
    <row r="15" spans="1:2" x14ac:dyDescent="0.2">
      <c r="A15">
        <v>11</v>
      </c>
      <c r="B15" s="6">
        <v>89.34</v>
      </c>
    </row>
    <row r="16" spans="1:2" x14ac:dyDescent="0.2">
      <c r="A16">
        <v>12</v>
      </c>
      <c r="B16" s="6">
        <v>97.84</v>
      </c>
    </row>
    <row r="17" spans="1:2" x14ac:dyDescent="0.2">
      <c r="A17">
        <v>13</v>
      </c>
      <c r="B17" s="6">
        <v>106.73</v>
      </c>
    </row>
    <row r="18" spans="1:2" x14ac:dyDescent="0.2">
      <c r="A18">
        <v>14</v>
      </c>
      <c r="B18" s="6">
        <v>115.69</v>
      </c>
    </row>
    <row r="19" spans="1:2" x14ac:dyDescent="0.2">
      <c r="A19">
        <v>15</v>
      </c>
      <c r="B19" s="6">
        <v>124.09</v>
      </c>
    </row>
    <row r="20" spans="1:2" x14ac:dyDescent="0.2">
      <c r="A20">
        <v>16</v>
      </c>
      <c r="B20" s="6">
        <v>132.87</v>
      </c>
    </row>
    <row r="21" spans="1:2" x14ac:dyDescent="0.2">
      <c r="A21">
        <v>17</v>
      </c>
      <c r="B21" s="6">
        <v>141.6</v>
      </c>
    </row>
    <row r="22" spans="1:2" x14ac:dyDescent="0.2">
      <c r="A22">
        <v>18</v>
      </c>
      <c r="B22" s="6">
        <v>150.05000000000001</v>
      </c>
    </row>
    <row r="23" spans="1:2" x14ac:dyDescent="0.2">
      <c r="A23">
        <v>19</v>
      </c>
      <c r="B23" s="6">
        <v>158.66</v>
      </c>
    </row>
    <row r="24" spans="1:2" x14ac:dyDescent="0.2">
      <c r="A24">
        <v>20</v>
      </c>
      <c r="B24" s="6">
        <v>167.37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Juntang Wang</dc:creator>
  <cp:lastModifiedBy>Juntang Wang</cp:lastModifiedBy>
  <dcterms:created xsi:type="dcterms:W3CDTF">2025-11-12T07:09:29Z</dcterms:created>
  <dcterms:modified xsi:type="dcterms:W3CDTF">2025-11-19T07:48:48Z</dcterms:modified>
</cp:coreProperties>
</file>